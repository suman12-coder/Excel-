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13946582ab2008/Desktop/Assignment/"/>
    </mc:Choice>
  </mc:AlternateContent>
  <xr:revisionPtr revIDLastSave="43" documentId="8_{421B6A4F-22FC-48A9-9D6D-829518533123}" xr6:coauthVersionLast="47" xr6:coauthVersionMax="47" xr10:uidLastSave="{5219F6F8-8833-4DA4-A067-F4F682ABE725}"/>
  <bookViews>
    <workbookView xWindow="-108" yWindow="-108" windowWidth="23256" windowHeight="12456" xr2:uid="{FB465416-1C40-45EB-9A70-95CB832A8A48}"/>
  </bookViews>
  <sheets>
    <sheet name="Sheet1" sheetId="1" r:id="rId1"/>
  </sheets>
  <calcPr calcId="191029" iterateCount="2" iterateDelta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4" i="1" l="1"/>
  <c r="G165" i="1"/>
  <c r="G164" i="1"/>
  <c r="G181" i="1"/>
  <c r="D182" i="1" s="1"/>
  <c r="G180" i="1"/>
  <c r="B184" i="1" s="1"/>
  <c r="E135" i="1"/>
  <c r="E134" i="1"/>
  <c r="E133" i="1"/>
  <c r="A49" i="1"/>
  <c r="A52" i="1"/>
  <c r="B181" i="1" l="1"/>
</calcChain>
</file>

<file path=xl/sharedStrings.xml><?xml version="1.0" encoding="utf-8"?>
<sst xmlns="http://schemas.openxmlformats.org/spreadsheetml/2006/main" count="219" uniqueCount="104">
  <si>
    <t>Answer:</t>
  </si>
  <si>
    <t>Example:</t>
  </si>
  <si>
    <t>If you copy a cell containing a formula =A1+B1:</t>
  </si>
  <si>
    <t>Assignment</t>
  </si>
  <si>
    <t>Question 1: What is the difference between ‘Paste’ and ‘Paste Special’ in Excel?</t>
  </si>
  <si>
    <t>Question 2: Describe the functions and usefulness of ‘Freeze Panes’ and ‘Split Panes’ in Excel.</t>
  </si>
  <si>
    <t>Freeze Panes</t>
  </si>
  <si>
    <t>Keeps selected rows or columns visible while scrolling.</t>
  </si>
  <si>
    <t>Commonly used to freeze header rows or first columns.</t>
  </si>
  <si>
    <t>Split Panes</t>
  </si>
  <si>
    <t>Divides the worksheet into separate scrollable sections.</t>
  </si>
  <si>
    <t>Useful for comparing different parts of the same worksheet.</t>
  </si>
  <si>
    <t>Difference:</t>
  </si>
  <si>
    <t>Freeze Panes locks rows/columns.</t>
  </si>
  <si>
    <t>Split Panes creates multiple viewing areas.</t>
  </si>
  <si>
    <t>Question 3: Difference between inserting a new row and inserting a new column. Can you insert multiple rows or columns at once?</t>
  </si>
  <si>
    <t>Inserting multiple rows or columns:</t>
  </si>
  <si>
    <r>
      <t>Insert Row:</t>
    </r>
    <r>
      <rPr>
        <sz val="14"/>
        <color theme="1"/>
        <rFont val="Calibri"/>
        <family val="2"/>
        <scheme val="minor"/>
      </rPr>
      <t xml:space="preserve"> Adds a horizontal row above the selected row.</t>
    </r>
  </si>
  <si>
    <r>
      <t>Insert Column:</t>
    </r>
    <r>
      <rPr>
        <sz val="14"/>
        <color theme="1"/>
        <rFont val="Calibri"/>
        <family val="2"/>
        <scheme val="minor"/>
      </rPr>
      <t xml:space="preserve"> Adds a vertical column to the left of the selected column.</t>
    </r>
  </si>
  <si>
    <r>
      <t xml:space="preserve">Yes, you can select multiple rows or columns first, then right-click and choose </t>
    </r>
    <r>
      <rPr>
        <b/>
        <sz val="14"/>
        <color theme="1"/>
        <rFont val="Calibri"/>
        <family val="2"/>
        <scheme val="minor"/>
      </rPr>
      <t>Insert</t>
    </r>
    <r>
      <rPr>
        <sz val="14"/>
        <color theme="1"/>
        <rFont val="Calibri"/>
        <family val="2"/>
        <scheme val="minor"/>
      </rPr>
      <t>.</t>
    </r>
  </si>
  <si>
    <r>
      <t>Example:</t>
    </r>
    <r>
      <rPr>
        <sz val="14"/>
        <color theme="1"/>
        <rFont val="Calibri"/>
        <family val="2"/>
        <scheme val="minor"/>
      </rPr>
      <t xml:space="preserve"> Selecting 3 rows and inserting will add 3 new rows at once.</t>
    </r>
  </si>
  <si>
    <t>Question 4: What are logical functions in Excel? Give examples.</t>
  </si>
  <si>
    <t>Logical functions are used to perform decision-making operations based on conditions.</t>
  </si>
  <si>
    <t>Examples:</t>
  </si>
  <si>
    <t>1. IF Function</t>
  </si>
  <si>
    <t>Used to return different results based on a condition.</t>
  </si>
  <si>
    <t>2. AND Function</t>
  </si>
  <si>
    <t>Returns TRUE if all conditions are met.</t>
  </si>
  <si>
    <t>Question 5: Purpose of XLOOKUP and how it differs from VLOOKUP</t>
  </si>
  <si>
    <t>Differences:</t>
  </si>
  <si>
    <t>Feature</t>
  </si>
  <si>
    <t>XLOOKUP</t>
  </si>
  <si>
    <t>VLOOKUP</t>
  </si>
  <si>
    <t>Lookup direction</t>
  </si>
  <si>
    <t>Any direction</t>
  </si>
  <si>
    <t>Left to right only</t>
  </si>
  <si>
    <t>Column index</t>
  </si>
  <si>
    <t>Not required</t>
  </si>
  <si>
    <t>Required</t>
  </si>
  <si>
    <t>Error handling</t>
  </si>
  <si>
    <t>Built-in</t>
  </si>
  <si>
    <t>Needs IFERROR</t>
  </si>
  <si>
    <t>Flexibility</t>
  </si>
  <si>
    <t>High</t>
  </si>
  <si>
    <t>Limited</t>
  </si>
  <si>
    <t>Data</t>
  </si>
  <si>
    <r>
      <t>Paste</t>
    </r>
    <r>
      <rPr>
        <sz val="14"/>
        <color theme="1"/>
        <rFont val="Calibri"/>
        <family val="2"/>
        <scheme val="minor"/>
      </rPr>
      <t xml:space="preserve"> is used to paste all copied content exactly as it is, including values, formulas, formatting, and comments.</t>
    </r>
  </si>
  <si>
    <r>
      <t>Paste Special</t>
    </r>
    <r>
      <rPr>
        <sz val="14"/>
        <color theme="1"/>
        <rFont val="Calibri"/>
        <family val="2"/>
        <scheme val="minor"/>
      </rPr>
      <t xml:space="preserve"> allows users to paste only specific elements such as values, formulas, formatting, or to perform operations like transpose or mathematical calculations.</t>
    </r>
  </si>
  <si>
    <r>
      <t>Paste</t>
    </r>
    <r>
      <rPr>
        <sz val="14"/>
        <color theme="1"/>
        <rFont val="Calibri"/>
        <family val="2"/>
        <scheme val="minor"/>
      </rPr>
      <t xml:space="preserve"> → Pastes the formula</t>
    </r>
  </si>
  <si>
    <r>
      <t>Paste Special → Values</t>
    </r>
    <r>
      <rPr>
        <sz val="14"/>
        <color theme="1"/>
        <rFont val="Calibri"/>
        <family val="2"/>
        <scheme val="minor"/>
      </rPr>
      <t xml:space="preserve"> → Pastes only the calculated result</t>
    </r>
  </si>
  <si>
    <r>
      <t>Paste Special → Formats</t>
    </r>
    <r>
      <rPr>
        <sz val="14"/>
        <color theme="1"/>
        <rFont val="Calibri"/>
        <family val="2"/>
        <scheme val="minor"/>
      </rPr>
      <t xml:space="preserve"> → Pastes only the formatting</t>
    </r>
  </si>
  <si>
    <r>
      <t>Conclusion:</t>
    </r>
    <r>
      <rPr>
        <sz val="14"/>
        <color theme="1"/>
        <rFont val="Calibri"/>
        <family val="2"/>
        <scheme val="minor"/>
      </rPr>
      <t xml:space="preserve"> Paste is quick and general, while Paste Special gives more control over what is pasted.</t>
    </r>
  </si>
  <si>
    <r>
      <t>Example:</t>
    </r>
    <r>
      <rPr>
        <sz val="14"/>
        <color theme="1"/>
        <rFont val="Calibri"/>
        <family val="2"/>
        <scheme val="minor"/>
      </rPr>
      <t xml:space="preserve"> Freezing the top row keeps column headers visible while scrolling down large datasets.</t>
    </r>
  </si>
  <si>
    <r>
      <t>Applications:</t>
    </r>
    <r>
      <rPr>
        <sz val="14"/>
        <color theme="1"/>
        <rFont val="Calibri"/>
        <family val="2"/>
        <scheme val="minor"/>
      </rPr>
      <t xml:space="preserve"> Grading systems, eligibility checks, decision analysis.</t>
    </r>
  </si>
  <si>
    <r>
      <t>XLOOKUP</t>
    </r>
    <r>
      <rPr>
        <sz val="14"/>
        <color theme="1"/>
        <rFont val="Calibri"/>
        <family val="2"/>
        <scheme val="minor"/>
      </rPr>
      <t xml:space="preserve"> is a modern lookup function used to find values in a range and return matching results.</t>
    </r>
  </si>
  <si>
    <r>
      <t>Conclusion:</t>
    </r>
    <r>
      <rPr>
        <sz val="14"/>
        <color theme="1"/>
        <rFont val="Calibri"/>
        <family val="2"/>
        <scheme val="minor"/>
      </rPr>
      <t xml:space="preserve"> XLOOKUP is more powerful, flexible, and easier to use.</t>
    </r>
  </si>
  <si>
    <t>Question 6: Create ‘Employee Data’ worksheet</t>
  </si>
  <si>
    <t>Name</t>
  </si>
  <si>
    <t>Age</t>
  </si>
  <si>
    <t>Department</t>
  </si>
  <si>
    <t>Rahul</t>
  </si>
  <si>
    <t>HR</t>
  </si>
  <si>
    <t>Anita</t>
  </si>
  <si>
    <t>Finance</t>
  </si>
  <si>
    <t>Rohit</t>
  </si>
  <si>
    <t>IT</t>
  </si>
  <si>
    <t>Priya</t>
  </si>
  <si>
    <t>Marketing</t>
  </si>
  <si>
    <t>Aman</t>
  </si>
  <si>
    <t>Operations</t>
  </si>
  <si>
    <t>Question 7: Insert and delete multiple rows and columns</t>
  </si>
  <si>
    <t>Employee ID</t>
  </si>
  <si>
    <t>Suman</t>
  </si>
  <si>
    <t>Analyst</t>
  </si>
  <si>
    <t>Creat a dataset:</t>
  </si>
  <si>
    <t>Add employee ID</t>
  </si>
  <si>
    <t>Delete some rows</t>
  </si>
  <si>
    <t>Question 8: Find and Replace department names</t>
  </si>
  <si>
    <t>I Replace Analyst with IT</t>
  </si>
  <si>
    <t>Question 9: Apply AVERAGE, MAX, MIN functions</t>
  </si>
  <si>
    <t xml:space="preserve">Create a Data </t>
  </si>
  <si>
    <t xml:space="preserve">Data </t>
  </si>
  <si>
    <t xml:space="preserve">Average </t>
  </si>
  <si>
    <t>Maximum</t>
  </si>
  <si>
    <t>Minimum</t>
  </si>
  <si>
    <t>Question 10: Detect and handle missing values in Excel</t>
  </si>
  <si>
    <t>As a Data Scientist, missing data must be identified and handled properly.</t>
  </si>
  <si>
    <t>Detection Tools:</t>
  </si>
  <si>
    <t>Handling Methods:</t>
  </si>
  <si>
    <t>&gt; Replace with mean/median</t>
  </si>
  <si>
    <t>&gt; Fill with default values</t>
  </si>
  <si>
    <t>&gt; Remove rows if necessary</t>
  </si>
  <si>
    <r>
      <t>&gt; Go To Special → Blanks</t>
    </r>
    <r>
      <rPr>
        <sz val="14"/>
        <color theme="1"/>
        <rFont val="Calibri"/>
        <family val="2"/>
        <scheme val="minor"/>
      </rPr>
      <t>: Highlights empty cells</t>
    </r>
  </si>
  <si>
    <r>
      <t>&gt; ISBLANK(cell)</t>
    </r>
    <r>
      <rPr>
        <sz val="14"/>
        <color theme="1"/>
        <rFont val="Calibri"/>
        <family val="2"/>
        <scheme val="minor"/>
      </rPr>
      <t>: Returns TRUE if a cell is empty</t>
    </r>
  </si>
  <si>
    <r>
      <t>&gt; COUNTBLANK(range)</t>
    </r>
    <r>
      <rPr>
        <sz val="14"/>
        <color theme="1"/>
        <rFont val="Calibri"/>
        <family val="2"/>
        <scheme val="minor"/>
      </rPr>
      <t>: Counts empty cells</t>
    </r>
  </si>
  <si>
    <t>Employee Name</t>
  </si>
  <si>
    <t>Salary</t>
  </si>
  <si>
    <t>Data:</t>
  </si>
  <si>
    <t xml:space="preserve">1. Detecting blank cells usinig conditional formating </t>
  </si>
  <si>
    <t xml:space="preserve">2. fill with mean </t>
  </si>
  <si>
    <t xml:space="preserve">Mean of Age </t>
  </si>
  <si>
    <t>Mean of Salary</t>
  </si>
  <si>
    <t>Detect Blank cells</t>
  </si>
  <si>
    <t>Count Blank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</si>
</sst>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5" tint="-0.499984740745262"/>
      <name val="Calibri"/>
      <family val="2"/>
      <scheme val="minor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0" fillId="6" borderId="1" xfId="0" applyFill="1" applyBorder="1"/>
    <xf numFmtId="0" fontId="6" fillId="7" borderId="1" xfId="0" applyFont="1" applyFill="1" applyBorder="1"/>
    <xf numFmtId="0" fontId="9" fillId="0" borderId="1" xfId="0" applyFont="1" applyBorder="1"/>
    <xf numFmtId="0" fontId="1" fillId="7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2" fillId="0" borderId="0" xfId="0" applyFont="1"/>
    <xf numFmtId="0" fontId="3" fillId="5" borderId="0" xfId="0" applyFont="1" applyFill="1" applyAlignment="1">
      <alignment vertical="center" wrapText="1"/>
    </xf>
    <xf numFmtId="0" fontId="3" fillId="0" borderId="0" xfId="0" applyFont="1"/>
    <xf numFmtId="0" fontId="7" fillId="0" borderId="0" xfId="0" applyFont="1" applyAlignment="1">
      <alignment horizontal="left" vertical="center" indent="2"/>
    </xf>
    <xf numFmtId="0" fontId="5" fillId="2" borderId="0" xfId="0" applyFont="1" applyFill="1" applyAlignment="1">
      <alignment horizontal="center" vertical="center"/>
    </xf>
    <xf numFmtId="0" fontId="0" fillId="8" borderId="0" xfId="0" applyFill="1"/>
    <xf numFmtId="0" fontId="0" fillId="8" borderId="0" xfId="0" applyFill="1"/>
    <xf numFmtId="0" fontId="3" fillId="8" borderId="0" xfId="0" applyFont="1" applyFill="1"/>
    <xf numFmtId="0" fontId="2" fillId="8" borderId="0" xfId="0" applyFont="1" applyFill="1"/>
    <xf numFmtId="0" fontId="2" fillId="8" borderId="0" xfId="0" applyFont="1" applyFill="1"/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A3DB-81F7-4B00-87D0-1C48C864DE88}">
  <dimension ref="A1:V184"/>
  <sheetViews>
    <sheetView tabSelected="1" topLeftCell="A19" zoomScale="110" zoomScaleNormal="110" workbookViewId="0">
      <selection activeCell="A179" sqref="A179:XFD179"/>
    </sheetView>
  </sheetViews>
  <sheetFormatPr defaultRowHeight="14.4" x14ac:dyDescent="0.3"/>
  <cols>
    <col min="1" max="1" width="9.33203125" bestFit="1" customWidth="1"/>
    <col min="2" max="2" width="14.77734375" customWidth="1"/>
    <col min="3" max="3" width="17.88671875" customWidth="1"/>
    <col min="4" max="4" width="21.77734375" customWidth="1"/>
    <col min="5" max="5" width="8.88671875" customWidth="1"/>
    <col min="6" max="6" width="15.6640625" customWidth="1"/>
    <col min="7" max="7" width="12.109375" customWidth="1"/>
  </cols>
  <sheetData>
    <row r="1" spans="1:22" x14ac:dyDescent="0.3">
      <c r="I1" s="28" t="s">
        <v>3</v>
      </c>
      <c r="J1" s="28"/>
      <c r="K1" s="28"/>
      <c r="L1" s="28"/>
      <c r="M1" s="28"/>
      <c r="N1" s="28"/>
      <c r="O1" s="28"/>
    </row>
    <row r="2" spans="1:22" x14ac:dyDescent="0.3">
      <c r="I2" s="28"/>
      <c r="J2" s="28"/>
      <c r="K2" s="28"/>
      <c r="L2" s="28"/>
      <c r="M2" s="28"/>
      <c r="N2" s="28"/>
      <c r="O2" s="28"/>
    </row>
    <row r="5" spans="1:22" ht="18" x14ac:dyDescent="0.3">
      <c r="A5" s="22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spans="1:22" ht="18" x14ac:dyDescent="0.3">
      <c r="A6" s="22" t="s">
        <v>0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ht="18" x14ac:dyDescent="0.3">
      <c r="A7" s="22" t="s">
        <v>46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 spans="1:22" ht="18" x14ac:dyDescent="0.3">
      <c r="A8" s="22" t="s">
        <v>47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spans="1:22" ht="18" x14ac:dyDescent="0.3">
      <c r="A9" s="22" t="s">
        <v>1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18" x14ac:dyDescent="0.3">
      <c r="A10" s="19" t="s">
        <v>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8" x14ac:dyDescent="0.3">
      <c r="A11" s="27" t="s">
        <v>48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</row>
    <row r="12" spans="1:22" ht="18" x14ac:dyDescent="0.3">
      <c r="A12" s="27" t="s">
        <v>49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</row>
    <row r="13" spans="1:22" ht="18" x14ac:dyDescent="0.3">
      <c r="A13" s="27" t="s">
        <v>50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</row>
    <row r="14" spans="1:22" ht="18" x14ac:dyDescent="0.3">
      <c r="A14" s="22" t="s">
        <v>51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spans="1:22" ht="18" x14ac:dyDescent="0.3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</row>
    <row r="16" spans="1:22" ht="15.6" x14ac:dyDescent="0.3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spans="1:22" ht="18" x14ac:dyDescent="0.3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2" ht="18" x14ac:dyDescent="0.35">
      <c r="A18" s="22" t="s">
        <v>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8" x14ac:dyDescent="0.35">
      <c r="A19" s="22" t="s">
        <v>0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8" x14ac:dyDescent="0.35">
      <c r="A20" s="22" t="s">
        <v>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8" x14ac:dyDescent="0.35">
      <c r="A21" s="19" t="s">
        <v>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8" x14ac:dyDescent="0.35">
      <c r="A22" s="19" t="s">
        <v>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8" x14ac:dyDescent="0.35">
      <c r="A23" s="22" t="s">
        <v>52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8" x14ac:dyDescent="0.35">
      <c r="A24" s="22" t="s">
        <v>9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8" x14ac:dyDescent="0.35">
      <c r="A25" s="19" t="s">
        <v>10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8" x14ac:dyDescent="0.35">
      <c r="A26" s="19" t="s">
        <v>11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8" x14ac:dyDescent="0.35">
      <c r="A27" s="22" t="s">
        <v>12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8" x14ac:dyDescent="0.35">
      <c r="A28" s="19" t="s">
        <v>13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8" x14ac:dyDescent="0.35">
      <c r="A29" s="19" t="s">
        <v>14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8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8" x14ac:dyDescent="0.35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2"/>
      <c r="R31" s="32"/>
      <c r="S31" s="32"/>
      <c r="T31" s="32"/>
      <c r="U31" s="32"/>
      <c r="V31" s="32"/>
    </row>
    <row r="32" spans="1:22" ht="18" x14ac:dyDescent="0.3">
      <c r="A32" s="22" t="s">
        <v>15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1"/>
      <c r="R32" s="1"/>
      <c r="S32" s="1"/>
      <c r="T32" s="1"/>
      <c r="U32" s="1"/>
      <c r="V32" s="1"/>
    </row>
    <row r="33" spans="1:22" ht="18" x14ac:dyDescent="0.3">
      <c r="A33" s="22" t="s">
        <v>0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1"/>
      <c r="R33" s="1"/>
      <c r="S33" s="1"/>
      <c r="T33" s="1"/>
      <c r="U33" s="1"/>
      <c r="V33" s="1"/>
    </row>
    <row r="34" spans="1:22" ht="18" x14ac:dyDescent="0.3">
      <c r="A34" s="23" t="s">
        <v>17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1"/>
      <c r="R34" s="1"/>
      <c r="S34" s="1"/>
      <c r="T34" s="1"/>
      <c r="U34" s="1"/>
      <c r="V34" s="1"/>
    </row>
    <row r="35" spans="1:22" ht="18" x14ac:dyDescent="0.3">
      <c r="A35" s="23" t="s">
        <v>18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1"/>
      <c r="R35" s="1"/>
      <c r="S35" s="1"/>
      <c r="T35" s="1"/>
      <c r="U35" s="1"/>
      <c r="V35" s="1"/>
    </row>
    <row r="36" spans="1:22" ht="18" x14ac:dyDescent="0.3">
      <c r="A36" s="22" t="s">
        <v>16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1"/>
      <c r="R36" s="1"/>
      <c r="S36" s="1"/>
      <c r="T36" s="1"/>
      <c r="U36" s="1"/>
      <c r="V36" s="1"/>
    </row>
    <row r="37" spans="1:22" ht="18" x14ac:dyDescent="0.3">
      <c r="A37" s="19" t="s">
        <v>19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"/>
      <c r="R37" s="1"/>
      <c r="S37" s="1"/>
      <c r="T37" s="1"/>
      <c r="U37" s="1"/>
      <c r="V37" s="1"/>
    </row>
    <row r="38" spans="1:22" ht="18" x14ac:dyDescent="0.3">
      <c r="A38" s="22" t="s">
        <v>20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1"/>
      <c r="R38" s="1"/>
      <c r="S38" s="1"/>
      <c r="T38" s="1"/>
      <c r="U38" s="1"/>
      <c r="V38" s="1"/>
    </row>
    <row r="39" spans="1:22" ht="18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1"/>
      <c r="R39" s="1"/>
      <c r="S39" s="1"/>
      <c r="T39" s="1"/>
      <c r="U39" s="1"/>
      <c r="V39" s="1"/>
    </row>
    <row r="40" spans="1:22" x14ac:dyDescent="0.3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29"/>
      <c r="R40" s="29"/>
      <c r="S40" s="29"/>
      <c r="T40" s="29"/>
      <c r="U40" s="29"/>
    </row>
    <row r="41" spans="1:22" ht="18" x14ac:dyDescent="0.35">
      <c r="A41" s="3" t="s">
        <v>21</v>
      </c>
      <c r="B41" s="2"/>
      <c r="C41" s="2"/>
      <c r="D41" s="2"/>
      <c r="E41" s="2"/>
      <c r="F41" s="2"/>
      <c r="G41" s="2"/>
      <c r="H41" s="2"/>
      <c r="I41" s="2"/>
    </row>
    <row r="42" spans="1:22" ht="18" x14ac:dyDescent="0.35">
      <c r="A42" s="3" t="s">
        <v>0</v>
      </c>
      <c r="B42" s="2"/>
      <c r="C42" s="2"/>
      <c r="D42" s="2"/>
      <c r="E42" s="2"/>
      <c r="F42" s="2"/>
      <c r="G42" s="2"/>
      <c r="H42" s="2"/>
      <c r="I42" s="2"/>
    </row>
    <row r="43" spans="1:22" ht="18" x14ac:dyDescent="0.35">
      <c r="A43" s="3"/>
      <c r="B43" s="8" t="s">
        <v>45</v>
      </c>
      <c r="C43" s="2"/>
      <c r="D43" s="2"/>
      <c r="E43" s="2"/>
      <c r="F43" s="2"/>
      <c r="G43" s="2"/>
      <c r="H43" s="2"/>
      <c r="I43" s="2"/>
    </row>
    <row r="44" spans="1:22" ht="18" x14ac:dyDescent="0.35">
      <c r="A44" s="3"/>
      <c r="B44" s="8">
        <v>40</v>
      </c>
      <c r="C44" s="2"/>
      <c r="D44" s="2"/>
      <c r="E44" s="2"/>
      <c r="F44" s="2"/>
      <c r="G44" s="2"/>
      <c r="H44" s="2"/>
      <c r="I44" s="2"/>
    </row>
    <row r="45" spans="1:22" ht="18" x14ac:dyDescent="0.35">
      <c r="A45" s="3"/>
      <c r="B45" s="8">
        <v>60</v>
      </c>
      <c r="C45" s="2"/>
      <c r="D45" s="2"/>
      <c r="E45" s="2"/>
      <c r="F45" s="2"/>
      <c r="G45" s="2"/>
      <c r="H45" s="2"/>
      <c r="I45" s="2"/>
    </row>
    <row r="46" spans="1:22" ht="18" x14ac:dyDescent="0.35">
      <c r="A46" s="9" t="s">
        <v>22</v>
      </c>
      <c r="B46" s="2"/>
      <c r="C46" s="2"/>
      <c r="D46" s="2"/>
      <c r="E46" s="2"/>
      <c r="F46" s="2"/>
      <c r="G46" s="2"/>
      <c r="H46" s="2"/>
      <c r="I46" s="2"/>
    </row>
    <row r="47" spans="1:22" ht="18" x14ac:dyDescent="0.35">
      <c r="A47" s="3" t="s">
        <v>23</v>
      </c>
      <c r="B47" s="2"/>
      <c r="C47" s="2"/>
      <c r="D47" s="2"/>
      <c r="E47" s="2"/>
      <c r="F47" s="2"/>
      <c r="G47" s="2"/>
      <c r="H47" s="2"/>
      <c r="I47" s="2"/>
    </row>
    <row r="48" spans="1:22" ht="18" x14ac:dyDescent="0.35">
      <c r="A48" s="4" t="s">
        <v>24</v>
      </c>
      <c r="B48" s="2"/>
      <c r="C48" s="2"/>
      <c r="D48" s="2"/>
      <c r="E48" s="2"/>
      <c r="F48" s="2"/>
      <c r="G48" s="2"/>
      <c r="H48" s="2"/>
      <c r="I48" s="2"/>
    </row>
    <row r="49" spans="1:20" ht="18" x14ac:dyDescent="0.35">
      <c r="A49" s="9" t="str">
        <f>IF(B44&gt;=50,"Pass","Fail")</f>
        <v>Fail</v>
      </c>
      <c r="B49" s="2"/>
      <c r="C49" s="2"/>
      <c r="D49" s="2"/>
      <c r="E49" s="2"/>
      <c r="F49" s="2"/>
      <c r="G49" s="2"/>
      <c r="H49" s="2"/>
      <c r="I49" s="2"/>
    </row>
    <row r="50" spans="1:20" ht="18" x14ac:dyDescent="0.35">
      <c r="A50" s="9" t="s">
        <v>25</v>
      </c>
      <c r="B50" s="2"/>
      <c r="C50" s="2"/>
      <c r="D50" s="2"/>
      <c r="E50" s="2"/>
      <c r="F50" s="2"/>
      <c r="G50" s="2"/>
      <c r="H50" s="2"/>
      <c r="I50" s="2"/>
    </row>
    <row r="51" spans="1:20" ht="18" x14ac:dyDescent="0.35">
      <c r="A51" s="4" t="s">
        <v>26</v>
      </c>
      <c r="B51" s="2"/>
      <c r="C51" s="2"/>
      <c r="D51" s="2"/>
      <c r="E51" s="2"/>
      <c r="F51" s="2"/>
      <c r="G51" s="2"/>
      <c r="H51" s="2"/>
      <c r="I51" s="2"/>
    </row>
    <row r="52" spans="1:20" ht="18" x14ac:dyDescent="0.35">
      <c r="A52" s="9" t="b">
        <f>AND(B44&gt;=50, B45&gt;=50)</f>
        <v>0</v>
      </c>
      <c r="B52" s="2"/>
      <c r="C52" s="2"/>
      <c r="D52" s="2"/>
      <c r="E52" s="2"/>
      <c r="F52" s="2"/>
      <c r="G52" s="2"/>
      <c r="H52" s="2"/>
      <c r="I52" s="2"/>
    </row>
    <row r="53" spans="1:20" ht="18" x14ac:dyDescent="0.3">
      <c r="A53" s="21" t="s">
        <v>27</v>
      </c>
      <c r="B53" s="21"/>
      <c r="C53" s="21"/>
      <c r="D53" s="21"/>
      <c r="E53" s="21"/>
      <c r="F53" s="21"/>
      <c r="G53" s="21"/>
      <c r="H53" s="21"/>
      <c r="I53" s="21"/>
    </row>
    <row r="54" spans="1:20" ht="18" x14ac:dyDescent="0.35">
      <c r="A54" s="3" t="s">
        <v>53</v>
      </c>
      <c r="B54" s="2"/>
      <c r="C54" s="2"/>
      <c r="D54" s="2"/>
      <c r="E54" s="2"/>
      <c r="F54" s="2"/>
      <c r="G54" s="2"/>
      <c r="H54" s="2"/>
      <c r="I54" s="2"/>
    </row>
    <row r="55" spans="1:20" ht="18" x14ac:dyDescent="0.35">
      <c r="A55" s="2"/>
      <c r="B55" s="2"/>
      <c r="C55" s="2"/>
      <c r="D55" s="2"/>
      <c r="E55" s="2"/>
      <c r="F55" s="2"/>
      <c r="G55" s="2"/>
      <c r="H55" s="2"/>
      <c r="I55" s="2"/>
    </row>
    <row r="56" spans="1:20" x14ac:dyDescent="0.3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</row>
    <row r="57" spans="1:20" ht="18" x14ac:dyDescent="0.35">
      <c r="A57" s="3" t="s">
        <v>28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20" ht="18" x14ac:dyDescent="0.35">
      <c r="A58" s="3" t="s">
        <v>0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</row>
    <row r="59" spans="1:20" ht="18" x14ac:dyDescent="0.35">
      <c r="A59" s="3" t="s">
        <v>54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20" ht="18" x14ac:dyDescent="0.35">
      <c r="A60" s="3" t="s">
        <v>29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20" ht="28.8" customHeight="1" x14ac:dyDescent="0.35">
      <c r="A61" s="10" t="s">
        <v>30</v>
      </c>
      <c r="B61" s="10" t="s">
        <v>31</v>
      </c>
      <c r="C61" s="10" t="s">
        <v>32</v>
      </c>
      <c r="D61" s="2"/>
      <c r="E61" s="2"/>
      <c r="F61" s="2"/>
      <c r="G61" s="2"/>
      <c r="H61" s="2"/>
      <c r="I61" s="2"/>
      <c r="J61" s="2"/>
      <c r="K61" s="2"/>
      <c r="L61" s="2"/>
    </row>
    <row r="62" spans="1:20" ht="36" x14ac:dyDescent="0.35">
      <c r="A62" s="11" t="s">
        <v>33</v>
      </c>
      <c r="B62" s="11" t="s">
        <v>34</v>
      </c>
      <c r="C62" s="11" t="s">
        <v>35</v>
      </c>
      <c r="D62" s="2"/>
      <c r="E62" s="2"/>
      <c r="F62" s="2"/>
      <c r="G62" s="2"/>
      <c r="H62" s="2"/>
      <c r="I62" s="2"/>
      <c r="J62" s="2"/>
      <c r="K62" s="2"/>
      <c r="L62" s="2"/>
    </row>
    <row r="63" spans="1:20" ht="36" x14ac:dyDescent="0.35">
      <c r="A63" s="11" t="s">
        <v>36</v>
      </c>
      <c r="B63" s="11" t="s">
        <v>37</v>
      </c>
      <c r="C63" s="11" t="s">
        <v>38</v>
      </c>
      <c r="D63" s="2"/>
      <c r="E63" s="2"/>
      <c r="F63" s="2"/>
      <c r="G63" s="2"/>
      <c r="H63" s="2"/>
      <c r="I63" s="2"/>
      <c r="J63" s="2"/>
      <c r="K63" s="2"/>
      <c r="L63" s="2"/>
    </row>
    <row r="64" spans="1:20" ht="54" x14ac:dyDescent="0.35">
      <c r="A64" s="11" t="s">
        <v>39</v>
      </c>
      <c r="B64" s="11" t="s">
        <v>40</v>
      </c>
      <c r="C64" s="11" t="s">
        <v>41</v>
      </c>
      <c r="D64" s="2"/>
      <c r="E64" s="2"/>
      <c r="F64" s="2"/>
      <c r="G64" s="2"/>
      <c r="H64" s="2"/>
      <c r="I64" s="2"/>
      <c r="J64" s="2"/>
      <c r="K64" s="2"/>
      <c r="L64" s="2"/>
    </row>
    <row r="65" spans="1:22" ht="36" x14ac:dyDescent="0.35">
      <c r="A65" s="11" t="s">
        <v>42</v>
      </c>
      <c r="B65" s="11" t="s">
        <v>43</v>
      </c>
      <c r="C65" s="11" t="s">
        <v>44</v>
      </c>
      <c r="D65" s="2"/>
      <c r="E65" s="2"/>
      <c r="F65" s="2"/>
      <c r="G65" s="2"/>
      <c r="H65" s="2"/>
      <c r="I65" s="2"/>
      <c r="J65" s="2"/>
      <c r="K65" s="2"/>
      <c r="L65" s="2"/>
    </row>
    <row r="66" spans="1:22" ht="18" x14ac:dyDescent="0.35">
      <c r="A66" s="3" t="s">
        <v>55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8" spans="1:22" x14ac:dyDescent="0.3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</row>
    <row r="69" spans="1:22" ht="18" x14ac:dyDescent="0.3">
      <c r="A69" s="22" t="s">
        <v>56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</row>
    <row r="70" spans="1:22" ht="18" x14ac:dyDescent="0.3">
      <c r="A70" s="22" t="s">
        <v>0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22" ht="42" x14ac:dyDescent="0.3">
      <c r="A71" s="12" t="s">
        <v>57</v>
      </c>
      <c r="B71" s="12" t="s">
        <v>58</v>
      </c>
      <c r="C71" s="12" t="s">
        <v>59</v>
      </c>
    </row>
    <row r="72" spans="1:22" ht="21" x14ac:dyDescent="0.3">
      <c r="A72" s="13" t="s">
        <v>60</v>
      </c>
      <c r="B72" s="13">
        <v>28</v>
      </c>
      <c r="C72" s="13" t="s">
        <v>61</v>
      </c>
    </row>
    <row r="73" spans="1:22" ht="21" x14ac:dyDescent="0.3">
      <c r="A73" s="13" t="s">
        <v>62</v>
      </c>
      <c r="B73" s="13">
        <v>32</v>
      </c>
      <c r="C73" s="13" t="s">
        <v>63</v>
      </c>
    </row>
    <row r="74" spans="1:22" ht="21" x14ac:dyDescent="0.3">
      <c r="A74" s="13" t="s">
        <v>64</v>
      </c>
      <c r="B74" s="13">
        <v>25</v>
      </c>
      <c r="C74" s="13" t="s">
        <v>65</v>
      </c>
    </row>
    <row r="75" spans="1:22" ht="42" x14ac:dyDescent="0.3">
      <c r="A75" s="13" t="s">
        <v>66</v>
      </c>
      <c r="B75" s="13">
        <v>30</v>
      </c>
      <c r="C75" s="13" t="s">
        <v>67</v>
      </c>
    </row>
    <row r="76" spans="1:22" ht="42" x14ac:dyDescent="0.3">
      <c r="A76" s="13" t="s">
        <v>68</v>
      </c>
      <c r="B76" s="13">
        <v>27</v>
      </c>
      <c r="C76" s="13" t="s">
        <v>69</v>
      </c>
    </row>
    <row r="78" spans="1:22" x14ac:dyDescent="0.3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</row>
    <row r="79" spans="1:22" ht="18" x14ac:dyDescent="0.35">
      <c r="A79" s="3" t="s">
        <v>70</v>
      </c>
      <c r="B79" s="2"/>
      <c r="C79" s="2"/>
      <c r="D79" s="2"/>
      <c r="E79" s="2"/>
      <c r="F79" s="2"/>
    </row>
    <row r="80" spans="1:22" ht="18" x14ac:dyDescent="0.35">
      <c r="A80" s="3" t="s">
        <v>0</v>
      </c>
      <c r="B80" s="2"/>
      <c r="C80" s="2"/>
      <c r="D80" s="2"/>
      <c r="E80" s="2"/>
      <c r="F80" s="2"/>
    </row>
    <row r="81" spans="1:6" ht="18" x14ac:dyDescent="0.35">
      <c r="A81" s="2" t="s">
        <v>74</v>
      </c>
      <c r="B81" s="2"/>
      <c r="C81" s="2"/>
      <c r="D81" s="2"/>
      <c r="E81" s="2"/>
      <c r="F81" s="2"/>
    </row>
    <row r="83" spans="1:6" ht="42" x14ac:dyDescent="0.3">
      <c r="A83" s="12" t="s">
        <v>57</v>
      </c>
      <c r="B83" s="12" t="s">
        <v>58</v>
      </c>
      <c r="C83" s="12" t="s">
        <v>59</v>
      </c>
    </row>
    <row r="84" spans="1:6" ht="21" x14ac:dyDescent="0.3">
      <c r="A84" s="13" t="s">
        <v>60</v>
      </c>
      <c r="B84" s="13">
        <v>28</v>
      </c>
      <c r="C84" s="13" t="s">
        <v>61</v>
      </c>
    </row>
    <row r="85" spans="1:6" ht="21" x14ac:dyDescent="0.3">
      <c r="A85" s="13" t="s">
        <v>62</v>
      </c>
      <c r="B85" s="13">
        <v>32</v>
      </c>
      <c r="C85" s="13" t="s">
        <v>63</v>
      </c>
    </row>
    <row r="86" spans="1:6" ht="21" x14ac:dyDescent="0.3">
      <c r="A86" s="13" t="s">
        <v>64</v>
      </c>
      <c r="B86" s="13">
        <v>25</v>
      </c>
      <c r="C86" s="13" t="s">
        <v>65</v>
      </c>
    </row>
    <row r="87" spans="1:6" ht="42" x14ac:dyDescent="0.3">
      <c r="A87" s="13" t="s">
        <v>66</v>
      </c>
      <c r="B87" s="13">
        <v>30</v>
      </c>
      <c r="C87" s="13" t="s">
        <v>67</v>
      </c>
    </row>
    <row r="88" spans="1:6" ht="42" x14ac:dyDescent="0.3">
      <c r="A88" s="13" t="s">
        <v>68</v>
      </c>
      <c r="B88" s="13">
        <v>27</v>
      </c>
      <c r="C88" s="13" t="s">
        <v>69</v>
      </c>
    </row>
    <row r="90" spans="1:6" ht="63" customHeight="1" x14ac:dyDescent="0.3">
      <c r="A90" s="25" t="s">
        <v>75</v>
      </c>
      <c r="B90" s="25"/>
      <c r="C90" s="25"/>
      <c r="D90" s="25"/>
      <c r="E90" s="25"/>
    </row>
    <row r="91" spans="1:6" ht="21.6" customHeight="1" x14ac:dyDescent="0.3">
      <c r="A91" s="12" t="s">
        <v>57</v>
      </c>
      <c r="B91" s="12" t="s">
        <v>58</v>
      </c>
      <c r="C91" s="12" t="s">
        <v>59</v>
      </c>
      <c r="D91" s="12" t="s">
        <v>71</v>
      </c>
    </row>
    <row r="92" spans="1:6" ht="21" x14ac:dyDescent="0.3">
      <c r="A92" s="13" t="s">
        <v>60</v>
      </c>
      <c r="B92" s="13">
        <v>28</v>
      </c>
      <c r="C92" s="13" t="s">
        <v>61</v>
      </c>
      <c r="D92" s="14">
        <v>1001</v>
      </c>
    </row>
    <row r="93" spans="1:6" ht="21" x14ac:dyDescent="0.3">
      <c r="A93" s="13" t="s">
        <v>62</v>
      </c>
      <c r="B93" s="13">
        <v>32</v>
      </c>
      <c r="C93" s="13" t="s">
        <v>63</v>
      </c>
      <c r="D93" s="14">
        <v>1002</v>
      </c>
    </row>
    <row r="94" spans="1:6" ht="21" x14ac:dyDescent="0.3">
      <c r="A94" s="13" t="s">
        <v>64</v>
      </c>
      <c r="B94" s="13">
        <v>25</v>
      </c>
      <c r="C94" s="13" t="s">
        <v>65</v>
      </c>
      <c r="D94" s="14">
        <v>1003</v>
      </c>
    </row>
    <row r="95" spans="1:6" ht="42" x14ac:dyDescent="0.3">
      <c r="A95" s="13" t="s">
        <v>66</v>
      </c>
      <c r="B95" s="13">
        <v>30</v>
      </c>
      <c r="C95" s="13" t="s">
        <v>67</v>
      </c>
      <c r="D95" s="14">
        <v>1004</v>
      </c>
    </row>
    <row r="96" spans="1:6" ht="42" x14ac:dyDescent="0.3">
      <c r="A96" s="13" t="s">
        <v>68</v>
      </c>
      <c r="B96" s="13">
        <v>27</v>
      </c>
      <c r="C96" s="13" t="s">
        <v>69</v>
      </c>
      <c r="D96" s="14">
        <v>1005</v>
      </c>
    </row>
    <row r="98" spans="1:8" ht="15.6" customHeight="1" x14ac:dyDescent="0.35">
      <c r="A98" s="26" t="s">
        <v>76</v>
      </c>
      <c r="B98" s="26"/>
      <c r="C98" s="26"/>
      <c r="D98" s="26"/>
    </row>
    <row r="99" spans="1:8" ht="14.4" customHeight="1" x14ac:dyDescent="0.3">
      <c r="A99" s="24"/>
      <c r="B99" s="24"/>
      <c r="C99" s="24"/>
      <c r="D99" s="24"/>
    </row>
    <row r="101" spans="1:8" ht="84" x14ac:dyDescent="0.3">
      <c r="A101" s="12" t="s">
        <v>57</v>
      </c>
      <c r="B101" s="12" t="s">
        <v>58</v>
      </c>
      <c r="C101" s="12" t="s">
        <v>59</v>
      </c>
      <c r="D101" s="12" t="s">
        <v>71</v>
      </c>
    </row>
    <row r="102" spans="1:8" ht="21" x14ac:dyDescent="0.3">
      <c r="A102" s="13" t="s">
        <v>60</v>
      </c>
      <c r="B102" s="13">
        <v>28</v>
      </c>
      <c r="C102" s="13" t="s">
        <v>61</v>
      </c>
      <c r="D102" s="14">
        <v>1001</v>
      </c>
    </row>
    <row r="103" spans="1:8" ht="21" x14ac:dyDescent="0.3">
      <c r="A103" s="13" t="s">
        <v>64</v>
      </c>
      <c r="B103" s="13">
        <v>25</v>
      </c>
      <c r="C103" s="13" t="s">
        <v>65</v>
      </c>
      <c r="D103" s="14">
        <v>1003</v>
      </c>
    </row>
    <row r="104" spans="1:8" ht="42" x14ac:dyDescent="0.3">
      <c r="A104" s="13" t="s">
        <v>68</v>
      </c>
      <c r="B104" s="13">
        <v>27</v>
      </c>
      <c r="C104" s="13" t="s">
        <v>69</v>
      </c>
      <c r="D104" s="14">
        <v>1005</v>
      </c>
    </row>
    <row r="107" spans="1:8" ht="18" x14ac:dyDescent="0.3">
      <c r="A107" s="22" t="s">
        <v>77</v>
      </c>
      <c r="B107" s="22"/>
      <c r="C107" s="22"/>
      <c r="D107" s="22"/>
      <c r="E107" s="22"/>
      <c r="F107" s="22"/>
      <c r="G107" s="22"/>
      <c r="H107" s="22"/>
    </row>
    <row r="108" spans="1:8" ht="18" x14ac:dyDescent="0.3">
      <c r="A108" s="22" t="s">
        <v>0</v>
      </c>
      <c r="B108" s="22"/>
      <c r="C108" s="22"/>
      <c r="D108" s="22"/>
      <c r="E108" s="22"/>
      <c r="F108" s="22"/>
      <c r="G108" s="22"/>
      <c r="H108" s="22"/>
    </row>
    <row r="110" spans="1:8" ht="84" x14ac:dyDescent="0.3">
      <c r="A110" s="12" t="s">
        <v>57</v>
      </c>
      <c r="B110" s="12" t="s">
        <v>58</v>
      </c>
      <c r="C110" s="12" t="s">
        <v>59</v>
      </c>
      <c r="D110" s="12" t="s">
        <v>71</v>
      </c>
    </row>
    <row r="111" spans="1:8" ht="21" x14ac:dyDescent="0.3">
      <c r="A111" s="13" t="s">
        <v>60</v>
      </c>
      <c r="B111" s="13">
        <v>28</v>
      </c>
      <c r="C111" s="13" t="s">
        <v>61</v>
      </c>
      <c r="D111" s="14">
        <v>1001</v>
      </c>
    </row>
    <row r="112" spans="1:8" ht="21" x14ac:dyDescent="0.3">
      <c r="A112" s="13" t="s">
        <v>62</v>
      </c>
      <c r="B112" s="13">
        <v>32</v>
      </c>
      <c r="C112" s="13" t="s">
        <v>63</v>
      </c>
      <c r="D112" s="14">
        <v>1002</v>
      </c>
    </row>
    <row r="113" spans="1:22" ht="21" x14ac:dyDescent="0.3">
      <c r="A113" s="13" t="s">
        <v>64</v>
      </c>
      <c r="B113" s="13">
        <v>25</v>
      </c>
      <c r="C113" s="13" t="s">
        <v>65</v>
      </c>
      <c r="D113" s="14">
        <v>1003</v>
      </c>
    </row>
    <row r="114" spans="1:22" ht="42" x14ac:dyDescent="0.3">
      <c r="A114" s="13" t="s">
        <v>66</v>
      </c>
      <c r="B114" s="13">
        <v>30</v>
      </c>
      <c r="C114" s="13" t="s">
        <v>67</v>
      </c>
      <c r="D114" s="14">
        <v>1004</v>
      </c>
    </row>
    <row r="115" spans="1:22" ht="42" x14ac:dyDescent="0.3">
      <c r="A115" s="13" t="s">
        <v>68</v>
      </c>
      <c r="B115" s="13">
        <v>27</v>
      </c>
      <c r="C115" s="13" t="s">
        <v>69</v>
      </c>
      <c r="D115" s="14">
        <v>1005</v>
      </c>
    </row>
    <row r="116" spans="1:22" ht="42" x14ac:dyDescent="0.3">
      <c r="A116" s="13" t="s">
        <v>72</v>
      </c>
      <c r="B116" s="13">
        <v>24</v>
      </c>
      <c r="C116" s="13" t="s">
        <v>73</v>
      </c>
      <c r="D116" s="14">
        <v>1006</v>
      </c>
    </row>
    <row r="118" spans="1:22" ht="15.6" x14ac:dyDescent="0.3">
      <c r="A118" s="37" t="s">
        <v>78</v>
      </c>
      <c r="B118" s="37"/>
      <c r="C118" s="37"/>
      <c r="D118" s="37"/>
      <c r="E118" s="37"/>
      <c r="F118" s="37"/>
      <c r="G118" s="37"/>
      <c r="H118" s="37"/>
    </row>
    <row r="120" spans="1:22" ht="84" x14ac:dyDescent="0.3">
      <c r="A120" s="12" t="s">
        <v>57</v>
      </c>
      <c r="B120" s="12" t="s">
        <v>58</v>
      </c>
      <c r="C120" s="12" t="s">
        <v>59</v>
      </c>
      <c r="D120" s="12" t="s">
        <v>71</v>
      </c>
    </row>
    <row r="121" spans="1:22" ht="21" x14ac:dyDescent="0.3">
      <c r="A121" s="13" t="s">
        <v>60</v>
      </c>
      <c r="B121" s="13">
        <v>28</v>
      </c>
      <c r="C121" s="13" t="s">
        <v>61</v>
      </c>
      <c r="D121" s="14">
        <v>1001</v>
      </c>
    </row>
    <row r="122" spans="1:22" ht="21" x14ac:dyDescent="0.3">
      <c r="A122" s="13" t="s">
        <v>62</v>
      </c>
      <c r="B122" s="13">
        <v>32</v>
      </c>
      <c r="C122" s="13" t="s">
        <v>63</v>
      </c>
      <c r="D122" s="14">
        <v>1002</v>
      </c>
    </row>
    <row r="123" spans="1:22" ht="21" x14ac:dyDescent="0.3">
      <c r="A123" s="13" t="s">
        <v>64</v>
      </c>
      <c r="B123" s="13">
        <v>25</v>
      </c>
      <c r="C123" s="13" t="s">
        <v>65</v>
      </c>
      <c r="D123" s="14">
        <v>1003</v>
      </c>
    </row>
    <row r="124" spans="1:22" ht="42" x14ac:dyDescent="0.3">
      <c r="A124" s="13" t="s">
        <v>66</v>
      </c>
      <c r="B124" s="13">
        <v>30</v>
      </c>
      <c r="C124" s="13" t="s">
        <v>67</v>
      </c>
      <c r="D124" s="14">
        <v>1004</v>
      </c>
    </row>
    <row r="125" spans="1:22" ht="42" x14ac:dyDescent="0.3">
      <c r="A125" s="13" t="s">
        <v>68</v>
      </c>
      <c r="B125" s="13">
        <v>27</v>
      </c>
      <c r="C125" s="13" t="s">
        <v>69</v>
      </c>
      <c r="D125" s="14">
        <v>1005</v>
      </c>
    </row>
    <row r="126" spans="1:22" ht="42" x14ac:dyDescent="0.3">
      <c r="A126" s="13" t="s">
        <v>72</v>
      </c>
      <c r="B126" s="13">
        <v>24</v>
      </c>
      <c r="C126" s="13" t="s">
        <v>65</v>
      </c>
      <c r="D126" s="14">
        <v>1006</v>
      </c>
    </row>
    <row r="128" spans="1:22" x14ac:dyDescent="0.3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</row>
    <row r="129" spans="1:7" ht="18" x14ac:dyDescent="0.3">
      <c r="A129" s="22" t="s">
        <v>79</v>
      </c>
      <c r="B129" s="22"/>
      <c r="C129" s="22"/>
      <c r="D129" s="22"/>
      <c r="E129" s="22"/>
      <c r="F129" s="22"/>
      <c r="G129" s="22"/>
    </row>
    <row r="130" spans="1:7" ht="18" x14ac:dyDescent="0.3">
      <c r="A130" s="22" t="s">
        <v>0</v>
      </c>
      <c r="B130" s="22"/>
      <c r="C130" s="22"/>
      <c r="D130" s="22"/>
      <c r="E130" s="22"/>
      <c r="F130" s="22"/>
      <c r="G130" s="22"/>
    </row>
    <row r="132" spans="1:7" ht="15.6" x14ac:dyDescent="0.3">
      <c r="A132" s="24" t="s">
        <v>80</v>
      </c>
      <c r="B132" s="24"/>
      <c r="C132" s="24"/>
      <c r="D132" s="24"/>
      <c r="E132" s="24"/>
    </row>
    <row r="133" spans="1:7" ht="15.6" x14ac:dyDescent="0.3">
      <c r="B133" s="15" t="s">
        <v>81</v>
      </c>
      <c r="D133" s="16" t="s">
        <v>82</v>
      </c>
      <c r="E133" s="7">
        <f>AVERAGE(B134:B143)</f>
        <v>55</v>
      </c>
    </row>
    <row r="134" spans="1:7" ht="15.6" x14ac:dyDescent="0.3">
      <c r="B134" s="7">
        <v>10</v>
      </c>
      <c r="D134" s="16" t="s">
        <v>83</v>
      </c>
      <c r="E134" s="7">
        <f>MAX(B134:B143)</f>
        <v>100</v>
      </c>
    </row>
    <row r="135" spans="1:7" ht="15.6" x14ac:dyDescent="0.3">
      <c r="B135" s="7">
        <v>20</v>
      </c>
      <c r="D135" s="16" t="s">
        <v>84</v>
      </c>
      <c r="E135" s="7">
        <f>MIN(B134:B143)</f>
        <v>10</v>
      </c>
    </row>
    <row r="136" spans="1:7" x14ac:dyDescent="0.3">
      <c r="B136" s="7">
        <v>30</v>
      </c>
    </row>
    <row r="137" spans="1:7" x14ac:dyDescent="0.3">
      <c r="B137" s="7">
        <v>40</v>
      </c>
    </row>
    <row r="138" spans="1:7" x14ac:dyDescent="0.3">
      <c r="B138" s="7">
        <v>50</v>
      </c>
    </row>
    <row r="139" spans="1:7" x14ac:dyDescent="0.3">
      <c r="B139" s="7">
        <v>60</v>
      </c>
    </row>
    <row r="140" spans="1:7" x14ac:dyDescent="0.3">
      <c r="B140" s="7">
        <v>70</v>
      </c>
    </row>
    <row r="141" spans="1:7" x14ac:dyDescent="0.3">
      <c r="B141" s="7">
        <v>80</v>
      </c>
    </row>
    <row r="142" spans="1:7" x14ac:dyDescent="0.3">
      <c r="B142" s="7">
        <v>90</v>
      </c>
    </row>
    <row r="143" spans="1:7" x14ac:dyDescent="0.3">
      <c r="B143" s="7">
        <v>100</v>
      </c>
    </row>
    <row r="146" spans="1:20" x14ac:dyDescent="0.3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</row>
    <row r="148" spans="1:20" s="22" customFormat="1" ht="18" x14ac:dyDescent="0.3">
      <c r="A148" s="22" t="s">
        <v>85</v>
      </c>
    </row>
    <row r="149" spans="1:20" s="22" customFormat="1" ht="18" x14ac:dyDescent="0.3">
      <c r="A149" s="22" t="s">
        <v>0</v>
      </c>
    </row>
    <row r="150" spans="1:20" s="21" customFormat="1" ht="18" x14ac:dyDescent="0.3">
      <c r="A150" s="21" t="s">
        <v>86</v>
      </c>
    </row>
    <row r="151" spans="1:20" s="22" customFormat="1" ht="18" x14ac:dyDescent="0.3">
      <c r="A151" s="22" t="s">
        <v>87</v>
      </c>
    </row>
    <row r="152" spans="1:20" s="23" customFormat="1" ht="18" x14ac:dyDescent="0.3">
      <c r="A152" s="23" t="s">
        <v>92</v>
      </c>
    </row>
    <row r="153" spans="1:20" s="23" customFormat="1" ht="18" x14ac:dyDescent="0.3">
      <c r="A153" s="23" t="s">
        <v>93</v>
      </c>
    </row>
    <row r="154" spans="1:20" s="23" customFormat="1" ht="18" x14ac:dyDescent="0.3">
      <c r="A154" s="23" t="s">
        <v>94</v>
      </c>
    </row>
    <row r="155" spans="1:20" s="22" customFormat="1" ht="18" x14ac:dyDescent="0.3">
      <c r="A155" s="22" t="s">
        <v>88</v>
      </c>
    </row>
    <row r="156" spans="1:20" s="19" customFormat="1" ht="18" x14ac:dyDescent="0.3">
      <c r="A156" s="19" t="s">
        <v>89</v>
      </c>
    </row>
    <row r="157" spans="1:20" s="19" customFormat="1" ht="18" x14ac:dyDescent="0.3">
      <c r="A157" s="19" t="s">
        <v>90</v>
      </c>
    </row>
    <row r="158" spans="1:20" s="19" customFormat="1" ht="18" x14ac:dyDescent="0.3">
      <c r="A158" s="19" t="s">
        <v>91</v>
      </c>
    </row>
    <row r="159" spans="1:20" s="5" customFormat="1" ht="18" x14ac:dyDescent="0.3"/>
    <row r="160" spans="1:20" s="5" customFormat="1" ht="18" x14ac:dyDescent="0.3">
      <c r="A160" s="18" t="s">
        <v>97</v>
      </c>
    </row>
    <row r="162" spans="1:14" ht="28.8" x14ac:dyDescent="0.3">
      <c r="A162" s="17" t="s">
        <v>95</v>
      </c>
      <c r="B162" s="17" t="s">
        <v>58</v>
      </c>
      <c r="C162" s="17" t="s">
        <v>59</v>
      </c>
      <c r="D162" s="17" t="s">
        <v>96</v>
      </c>
    </row>
    <row r="163" spans="1:14" x14ac:dyDescent="0.3">
      <c r="A163" s="6" t="s">
        <v>60</v>
      </c>
      <c r="B163" s="6">
        <v>28</v>
      </c>
      <c r="C163" s="6" t="s">
        <v>65</v>
      </c>
      <c r="D163" s="6">
        <v>45000</v>
      </c>
      <c r="G163" s="34" t="s">
        <v>102</v>
      </c>
      <c r="H163" s="34"/>
      <c r="J163" s="34" t="s">
        <v>103</v>
      </c>
      <c r="K163" s="34"/>
    </row>
    <row r="164" spans="1:14" x14ac:dyDescent="0.3">
      <c r="A164" s="6" t="s">
        <v>62</v>
      </c>
      <c r="B164" s="6"/>
      <c r="C164" s="6" t="s">
        <v>63</v>
      </c>
      <c r="D164" s="6">
        <v>52000</v>
      </c>
      <c r="G164" s="35" t="b">
        <f>ISBLANK(B164)</f>
        <v>1</v>
      </c>
      <c r="H164" s="35"/>
      <c r="J164" s="35">
        <f>COUNTBLANK(A162:D167)</f>
        <v>3</v>
      </c>
      <c r="K164" s="35"/>
    </row>
    <row r="165" spans="1:14" x14ac:dyDescent="0.3">
      <c r="A165" s="6" t="s">
        <v>64</v>
      </c>
      <c r="B165" s="6">
        <v>25</v>
      </c>
      <c r="C165" s="6" t="s">
        <v>61</v>
      </c>
      <c r="D165" s="6"/>
      <c r="G165" s="35" t="b">
        <f>ISBLANK(D163)</f>
        <v>0</v>
      </c>
      <c r="H165" s="35"/>
      <c r="J165" s="36"/>
      <c r="K165" s="36"/>
    </row>
    <row r="166" spans="1:14" x14ac:dyDescent="0.3">
      <c r="A166" s="6" t="s">
        <v>66</v>
      </c>
      <c r="B166" s="6">
        <v>30</v>
      </c>
      <c r="C166" s="6" t="s">
        <v>67</v>
      </c>
      <c r="D166" s="6">
        <v>60000</v>
      </c>
    </row>
    <row r="167" spans="1:14" x14ac:dyDescent="0.3">
      <c r="A167" s="6" t="s">
        <v>68</v>
      </c>
      <c r="B167" s="6"/>
      <c r="C167" s="6" t="s">
        <v>61</v>
      </c>
      <c r="D167" s="6">
        <v>48000</v>
      </c>
    </row>
    <row r="169" spans="1:14" ht="16.8" customHeight="1" x14ac:dyDescent="0.3">
      <c r="A169" s="20" t="s">
        <v>98</v>
      </c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1" spans="1:14" ht="28.8" x14ac:dyDescent="0.3">
      <c r="A171" s="17" t="s">
        <v>95</v>
      </c>
      <c r="B171" s="17" t="s">
        <v>58</v>
      </c>
      <c r="C171" s="17" t="s">
        <v>59</v>
      </c>
      <c r="D171" s="17" t="s">
        <v>96</v>
      </c>
    </row>
    <row r="172" spans="1:14" x14ac:dyDescent="0.3">
      <c r="A172" s="6" t="s">
        <v>60</v>
      </c>
      <c r="B172" s="6">
        <v>28</v>
      </c>
      <c r="C172" s="6" t="s">
        <v>65</v>
      </c>
      <c r="D172" s="6">
        <v>45000</v>
      </c>
    </row>
    <row r="173" spans="1:14" x14ac:dyDescent="0.3">
      <c r="A173" s="6" t="s">
        <v>62</v>
      </c>
      <c r="B173" s="6"/>
      <c r="C173" s="6" t="s">
        <v>63</v>
      </c>
      <c r="D173" s="6">
        <v>52000</v>
      </c>
    </row>
    <row r="174" spans="1:14" x14ac:dyDescent="0.3">
      <c r="A174" s="6" t="s">
        <v>64</v>
      </c>
      <c r="B174" s="6">
        <v>25</v>
      </c>
      <c r="C174" s="6" t="s">
        <v>61</v>
      </c>
      <c r="D174" s="6"/>
    </row>
    <row r="175" spans="1:14" x14ac:dyDescent="0.3">
      <c r="A175" s="6" t="s">
        <v>66</v>
      </c>
      <c r="B175" s="6">
        <v>30</v>
      </c>
      <c r="C175" s="6" t="s">
        <v>67</v>
      </c>
      <c r="D175" s="6">
        <v>60000</v>
      </c>
    </row>
    <row r="176" spans="1:14" x14ac:dyDescent="0.3">
      <c r="A176" s="6" t="s">
        <v>68</v>
      </c>
      <c r="B176" s="6"/>
      <c r="C176" s="6" t="s">
        <v>61</v>
      </c>
      <c r="D176" s="6">
        <v>48000</v>
      </c>
    </row>
    <row r="178" spans="1:10" ht="28.8" customHeight="1" x14ac:dyDescent="0.3">
      <c r="A178" s="20" t="s">
        <v>99</v>
      </c>
      <c r="B178" s="20"/>
      <c r="C178" s="20"/>
      <c r="D178" s="20"/>
      <c r="E178" s="20"/>
      <c r="F178" s="20"/>
      <c r="G178" s="20"/>
      <c r="H178" s="20"/>
      <c r="I178" s="20"/>
      <c r="J178" s="20"/>
    </row>
    <row r="179" spans="1:10" ht="28.8" x14ac:dyDescent="0.3">
      <c r="A179" s="17" t="s">
        <v>95</v>
      </c>
      <c r="B179" s="17" t="s">
        <v>58</v>
      </c>
      <c r="C179" s="17" t="s">
        <v>59</v>
      </c>
      <c r="D179" s="17" t="s">
        <v>96</v>
      </c>
    </row>
    <row r="180" spans="1:10" x14ac:dyDescent="0.3">
      <c r="A180" s="6" t="s">
        <v>60</v>
      </c>
      <c r="B180" s="6">
        <v>28</v>
      </c>
      <c r="C180" s="6" t="s">
        <v>65</v>
      </c>
      <c r="D180" s="6">
        <v>45000</v>
      </c>
      <c r="F180" s="7" t="s">
        <v>100</v>
      </c>
      <c r="G180" s="7">
        <f>AVERAGE(B180,B182,B183)</f>
        <v>27.666666666666668</v>
      </c>
    </row>
    <row r="181" spans="1:10" x14ac:dyDescent="0.3">
      <c r="A181" s="6" t="s">
        <v>62</v>
      </c>
      <c r="B181" s="6">
        <f>G180</f>
        <v>27.666666666666668</v>
      </c>
      <c r="C181" s="6" t="s">
        <v>63</v>
      </c>
      <c r="D181" s="6">
        <v>52000</v>
      </c>
      <c r="F181" s="7" t="s">
        <v>101</v>
      </c>
      <c r="G181" s="7">
        <f>AVERAGE(D180,D181,D183,D184)</f>
        <v>51250</v>
      </c>
    </row>
    <row r="182" spans="1:10" x14ac:dyDescent="0.3">
      <c r="A182" s="6" t="s">
        <v>64</v>
      </c>
      <c r="B182" s="6">
        <v>25</v>
      </c>
      <c r="C182" s="6" t="s">
        <v>61</v>
      </c>
      <c r="D182" s="6">
        <f>G181</f>
        <v>51250</v>
      </c>
    </row>
    <row r="183" spans="1:10" x14ac:dyDescent="0.3">
      <c r="A183" s="6" t="s">
        <v>66</v>
      </c>
      <c r="B183" s="6">
        <v>30</v>
      </c>
      <c r="C183" s="6" t="s">
        <v>67</v>
      </c>
      <c r="D183" s="6">
        <v>60000</v>
      </c>
    </row>
    <row r="184" spans="1:10" x14ac:dyDescent="0.3">
      <c r="A184" s="6" t="s">
        <v>68</v>
      </c>
      <c r="B184" s="6">
        <f>G180</f>
        <v>27.666666666666668</v>
      </c>
      <c r="C184" s="6" t="s">
        <v>61</v>
      </c>
      <c r="D184" s="6">
        <v>48000</v>
      </c>
    </row>
  </sheetData>
  <mergeCells count="66">
    <mergeCell ref="A9:V9"/>
    <mergeCell ref="G163:H163"/>
    <mergeCell ref="G164:H164"/>
    <mergeCell ref="G165:H165"/>
    <mergeCell ref="J163:K163"/>
    <mergeCell ref="J164:K164"/>
    <mergeCell ref="I1:O2"/>
    <mergeCell ref="A5:V5"/>
    <mergeCell ref="A6:V6"/>
    <mergeCell ref="A7:V7"/>
    <mergeCell ref="A8:V8"/>
    <mergeCell ref="A21:K21"/>
    <mergeCell ref="A10:V10"/>
    <mergeCell ref="A11:V11"/>
    <mergeCell ref="A12:V12"/>
    <mergeCell ref="A13:V13"/>
    <mergeCell ref="A14:V14"/>
    <mergeCell ref="A15:V15"/>
    <mergeCell ref="A16:V16"/>
    <mergeCell ref="A17:V17"/>
    <mergeCell ref="A18:K18"/>
    <mergeCell ref="A19:K19"/>
    <mergeCell ref="A20:K20"/>
    <mergeCell ref="A35:P35"/>
    <mergeCell ref="A22:K22"/>
    <mergeCell ref="A23:K23"/>
    <mergeCell ref="A24:K24"/>
    <mergeCell ref="A25:K25"/>
    <mergeCell ref="A26:K26"/>
    <mergeCell ref="A27:K27"/>
    <mergeCell ref="A28:K28"/>
    <mergeCell ref="A29:K29"/>
    <mergeCell ref="A32:P32"/>
    <mergeCell ref="A33:P33"/>
    <mergeCell ref="A34:P34"/>
    <mergeCell ref="A70:M70"/>
    <mergeCell ref="A53:I53"/>
    <mergeCell ref="B58:L58"/>
    <mergeCell ref="A69:M69"/>
    <mergeCell ref="A36:P36"/>
    <mergeCell ref="A37:P37"/>
    <mergeCell ref="A38:P38"/>
    <mergeCell ref="A39:P39"/>
    <mergeCell ref="A40:P40"/>
    <mergeCell ref="A90:E90"/>
    <mergeCell ref="A98:D98"/>
    <mergeCell ref="A99:D99"/>
    <mergeCell ref="A107:H107"/>
    <mergeCell ref="A108:H108"/>
    <mergeCell ref="A155:XFD155"/>
    <mergeCell ref="A118:H118"/>
    <mergeCell ref="A129:G129"/>
    <mergeCell ref="A130:G130"/>
    <mergeCell ref="A132:E132"/>
    <mergeCell ref="A148:XFD148"/>
    <mergeCell ref="A149:XFD149"/>
    <mergeCell ref="A150:XFD150"/>
    <mergeCell ref="A151:XFD151"/>
    <mergeCell ref="A152:XFD152"/>
    <mergeCell ref="A153:XFD153"/>
    <mergeCell ref="A154:XFD154"/>
    <mergeCell ref="A156:XFD156"/>
    <mergeCell ref="A157:XFD157"/>
    <mergeCell ref="A158:XFD158"/>
    <mergeCell ref="A169:N169"/>
    <mergeCell ref="A178:J178"/>
  </mergeCells>
  <conditionalFormatting sqref="A178">
    <cfRule type="containsBlanks" dxfId="2" priority="3">
      <formula>LEN(TRIM(A178))=0</formula>
    </cfRule>
  </conditionalFormatting>
  <conditionalFormatting sqref="A171:D176">
    <cfRule type="containsBlanks" dxfId="1" priority="2">
      <formula>LEN(TRIM(A171))=0</formula>
    </cfRule>
  </conditionalFormatting>
  <conditionalFormatting sqref="A179:D184">
    <cfRule type="containsBlanks" dxfId="0" priority="1">
      <formula>LEN(TRIM(A179))=0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Kar</dc:creator>
  <cp:lastModifiedBy>Suman Kar</cp:lastModifiedBy>
  <cp:lastPrinted>2025-12-15T07:42:55Z</cp:lastPrinted>
  <dcterms:created xsi:type="dcterms:W3CDTF">2025-12-15T05:48:22Z</dcterms:created>
  <dcterms:modified xsi:type="dcterms:W3CDTF">2025-12-15T07:55:25Z</dcterms:modified>
</cp:coreProperties>
</file>